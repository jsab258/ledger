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Models" sheetId="3" state="visible" r:id="rId3"/>
    <sheet name="Grid" sheetId="4" state="visible" r:id="rId4"/>
    <sheet name="Pr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00;($#,##0.0000);-"/>
    <numFmt numFmtId="165" formatCode="0.0%;(0.0%);-"/>
    <numFmt numFmtId="166" formatCode="#,##0.0;(#,##0.0);-"/>
    <numFmt numFmtId="167" formatCode="$#,##0.00;($#,##0.00);-"/>
    <numFmt numFmtId="168" formatCode="#,##0&quot; h&quot;"/>
    <numFmt numFmtId="169" formatCode="$#,##0.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</font>
    <font>
      <name val="Arial"/>
      <color rgb="000000FF"/>
    </font>
    <font>
      <name val="Arial"/>
      <color rgb="00008000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0" borderId="0" pivotButton="0" quotePrefix="0" xfId="0"/>
    <xf numFmtId="0" fontId="2" fillId="0" borderId="1" pivotButton="0" quotePrefix="0" xfId="0"/>
    <xf numFmtId="164" fontId="4" fillId="3" borderId="1" pivotButton="0" quotePrefix="0" xfId="0"/>
    <xf numFmtId="0" fontId="2" fillId="0" borderId="1" applyAlignment="1" pivotButton="0" quotePrefix="0" xfId="0">
      <alignment wrapText="1"/>
    </xf>
    <xf numFmtId="165" fontId="4" fillId="3" borderId="1" pivotButton="0" quotePrefix="0" xfId="0"/>
    <xf numFmtId="165" fontId="4" fillId="0" borderId="1" pivotButton="0" quotePrefix="0" xfId="0"/>
    <xf numFmtId="1" fontId="4" fillId="0" borderId="1" pivotButton="0" quotePrefix="0" xfId="0"/>
    <xf numFmtId="166" fontId="4" fillId="0" borderId="1" pivotButton="0" quotePrefix="0" xfId="0"/>
    <xf numFmtId="164" fontId="4" fillId="0" borderId="1" pivotButton="0" quotePrefix="0" xfId="0"/>
    <xf numFmtId="164" fontId="2" fillId="0" borderId="1" pivotButton="0" quotePrefix="0" xfId="0"/>
    <xf numFmtId="166" fontId="4" fillId="3" borderId="1" pivotButton="0" quotePrefix="0" xfId="0"/>
    <xf numFmtId="167" fontId="4" fillId="0" borderId="1" pivotButton="0" quotePrefix="0" xfId="0"/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7" fontId="2" fillId="0" borderId="1" applyAlignment="1" pivotButton="0" quotePrefix="0" xfId="0">
      <alignment vertical="top" wrapText="1"/>
    </xf>
    <xf numFmtId="168" fontId="6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164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168" fontId="4" fillId="2" borderId="0" pivotButton="0" quotePrefix="0" xfId="0"/>
    <xf numFmtId="167" fontId="4" fillId="0" borderId="0" pivotButton="0" quotePrefix="0" xfId="0"/>
    <xf numFmtId="167" fontId="6" fillId="0" borderId="1" pivotButton="0" quotePrefix="0" xfId="0"/>
    <xf numFmtId="0" fontId="4" fillId="0" borderId="1" pivotButton="0" quotePrefix="0" xfId="0"/>
    <xf numFmtId="169" fontId="4" fillId="0" borderId="1" pivotButton="0" quotePrefix="0" xfId="0"/>
    <xf numFmtId="169" fontId="2" fillId="0" borderId="0" pivotButton="0" quotePrefix="0" xfId="0"/>
    <xf numFmtId="166" fontId="4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live AI during play can pay for itself: the model</t>
        </is>
      </c>
    </row>
    <row r="2">
      <c r="A2" s="2" t="inlineStr">
        <is>
          <t>Runtime-AI business model, LEDGER. Built 2026-09-24 for production/research/runtime-ai-business. Nothing here is a decision.</t>
        </is>
      </c>
    </row>
    <row r="3">
      <c r="A3" s="2" t="inlineStr"/>
    </row>
    <row r="4">
      <c r="A4" s="3" t="inlineStr">
        <is>
          <t>HOW TO USE IT</t>
        </is>
      </c>
    </row>
    <row r="5">
      <c r="A5" s="2" t="inlineStr">
        <is>
          <t>1. Change only the BLUE numbers on the Inputs sheet. Yellow ones are the key assumptions; the cost per hour is the one to replace with our measured figure.</t>
        </is>
      </c>
    </row>
    <row r="6">
      <c r="A6" s="2" t="inlineStr">
        <is>
          <t>2. The Models sheet shows, for each business model, what one typical player, one heavy player and the average player earn or lose us.</t>
        </is>
      </c>
    </row>
    <row r="7">
      <c r="A7" s="2" t="inlineStr">
        <is>
          <t>3. The Grid sheet shows the plain one-time purchase across a range of costs per hour and hours played, so you can see where it breaks.</t>
        </is>
      </c>
    </row>
    <row r="8">
      <c r="A8" s="2" t="inlineStr">
        <is>
          <t>4. The Prices sheet holds the dated price history and the decline assumption that turns today's cost into the cost at launch.</t>
        </is>
      </c>
    </row>
    <row r="9">
      <c r="A9" s="2" t="inlineStr"/>
    </row>
    <row r="10">
      <c r="A10" s="3" t="inlineStr">
        <is>
          <t>COLOURS</t>
        </is>
      </c>
    </row>
    <row r="11">
      <c r="A11" s="2" t="inlineStr">
        <is>
          <t>Blue text: an input you can change. Black: a formula. Green: a figure pulled from another sheet. Yellow fill: a key assumption.</t>
        </is>
      </c>
    </row>
    <row r="12">
      <c r="A12" s="2" t="inlineStr"/>
    </row>
    <row r="13">
      <c r="A13" s="3" t="inlineStr">
        <is>
          <t>WHAT IT LEAVES OUT, ON PURPOSE</t>
        </is>
      </c>
    </row>
    <row r="14">
      <c r="A14" s="2" t="inlineStr">
        <is>
          <t>Development cost, marketing, refunds, regional pricing, tax and currency. It answers one question: does each player pay for the talking they do.</t>
        </is>
      </c>
    </row>
    <row r="15">
      <c r="A15" s="2" t="inlineStr">
        <is>
          <t>All money is in US dollars, because model prices are quoted in dollars.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18" customWidth="1" min="3" max="3"/>
    <col width="90" customWidth="1" min="4" max="4"/>
  </cols>
  <sheetData>
    <row r="1">
      <c r="A1" s="4" t="inlineStr">
        <is>
          <t>Inputs: change the blue numbers</t>
        </is>
      </c>
      <c r="B1" s="5" t="n"/>
      <c r="C1" s="5" t="n"/>
      <c r="D1" s="5" t="n"/>
    </row>
    <row r="2">
      <c r="A2" s="6" t="inlineStr">
        <is>
          <t>Every result in this workbook is computed from this sheet. Units are in the label; notes say where each default came from.</t>
        </is>
      </c>
      <c r="B2" s="5" t="n"/>
      <c r="C2" s="5" t="n"/>
      <c r="D2" s="5" t="n"/>
    </row>
    <row r="3">
      <c r="A3" s="5" t="n"/>
      <c r="B3" s="5" t="n"/>
      <c r="C3" s="5" t="n"/>
      <c r="D3" s="5" t="n"/>
    </row>
    <row r="4">
      <c r="A4" s="7" t="inlineStr">
        <is>
          <t>Input</t>
        </is>
      </c>
      <c r="B4" s="7" t="inlineStr">
        <is>
          <t>Value</t>
        </is>
      </c>
      <c r="C4" s="7" t="inlineStr">
        <is>
          <t>Unit</t>
        </is>
      </c>
      <c r="D4" s="7" t="inlineStr">
        <is>
          <t>Where the default comes from</t>
        </is>
      </c>
    </row>
    <row r="5">
      <c r="A5" s="5" t="n"/>
      <c r="B5" s="5" t="n"/>
      <c r="C5" s="5" t="n"/>
      <c r="D5" s="5" t="n"/>
    </row>
    <row r="6">
      <c r="A6" s="8" t="inlineStr">
        <is>
          <t>The talking: what an hour of play costs</t>
        </is>
      </c>
      <c r="B6" s="5" t="n"/>
      <c r="C6" s="5" t="n"/>
      <c r="D6" s="5" t="n"/>
    </row>
    <row r="7">
      <c r="A7" s="9" t="inlineStr">
        <is>
          <t>Cost per hour of live talk, all of it on the paid model, at today's prices</t>
        </is>
      </c>
      <c r="B7" s="10" t="n">
        <v>0.14</v>
      </c>
      <c r="C7" s="9" t="inlineStr">
        <is>
          <t>$ per player-hour</t>
        </is>
      </c>
      <c r="D7" s="11" t="inlineStr">
        <is>
          <t>PLACEHOLDER until the slice measures it. Topic 19 (llm-inference-economics) estimated $0.36/h for all-cheap-tier characters at 20 conversations an hour, and about $0.14/h with prompt caching on. Replace with the measured figure.</t>
        </is>
      </c>
    </row>
    <row r="8">
      <c r="A8" s="9" t="inlineStr">
        <is>
          <t>Share of today's live talk that is written ahead instead (barks, remarks, stock replies)</t>
        </is>
      </c>
      <c r="B8" s="12" t="n">
        <v>0</v>
      </c>
      <c r="C8" s="9" t="inlineStr">
        <is>
          <t>share</t>
        </is>
      </c>
      <c r="D8" s="11" t="inlineStr">
        <is>
          <t>A design choice. 0 means every line is generated live, as measured. Written-ahead lines cost nothing per hour.</t>
        </is>
      </c>
    </row>
    <row r="9">
      <c r="A9" s="9" t="inlineStr">
        <is>
          <t>Share of the per-hour cost that is writing the spoken line (the rest is picking the action)</t>
        </is>
      </c>
      <c r="B9" s="13" t="n">
        <v>0.7</v>
      </c>
      <c r="C9" s="9" t="inlineStr">
        <is>
          <t>share</t>
        </is>
      </c>
      <c r="D9" s="11" t="inlineStr">
        <is>
          <t>DERIVED: a spoken line is about 1,950 tokens in and 60 out ($0.0023 uncached at Haiku 4.5 prices), an action-pick about 830 in and 48 out (about $0.0011). So writing the line is roughly 70% of the cost. Replace from the slice's own split.</t>
        </is>
      </c>
    </row>
    <row r="10">
      <c r="A10" s="9" t="inlineStr">
        <is>
          <t>Action-picking runs on the player's card (1 yes, 0 no)</t>
        </is>
      </c>
      <c r="B10" s="14" t="n">
        <v>0</v>
      </c>
      <c r="C10" s="9" t="inlineStr">
        <is>
          <t>switch</t>
        </is>
      </c>
      <c r="D10" s="11" t="inlineStr">
        <is>
          <t>Measured 24 Sep: a free model on the RX 6700 nearly matches the paid router with worked examples, but obeys more typed orders and takes 1.4 s a line.</t>
        </is>
      </c>
    </row>
    <row r="11">
      <c r="A11" s="9" t="inlineStr">
        <is>
          <t>Line-writing runs on the player's card (1 yes, 0 no)</t>
        </is>
      </c>
      <c r="B11" s="14" t="n">
        <v>0</v>
      </c>
      <c r="C11" s="9" t="inlineStr">
        <is>
          <t>switch</t>
        </is>
      </c>
      <c r="D11" s="11" t="inlineStr">
        <is>
          <t>Not yet tested; queued on the checklist as L01, waiting on the slice's card measurement.</t>
        </is>
      </c>
    </row>
    <row r="12">
      <c r="A12" s="9" t="inlineStr">
        <is>
          <t>Price fall per year for the same capability</t>
        </is>
      </c>
      <c r="B12" s="12" t="n">
        <v>0</v>
      </c>
      <c r="C12" s="9" t="inlineStr">
        <is>
          <t>share per year</t>
        </is>
      </c>
      <c r="D12" s="11" t="inlineStr">
        <is>
          <t>Default 0: budget at today's price. Anthropic's small model has held or raised its price for three years (Haiku 3 $0.25/$1.25, Haiku 3.5 $0.80/$4, Haiku 4.5 $1/$5). A fixed capability falls 5-13x a year elsewhere (Epoch AI 2025-2026, a16z 2024), but only if the dialogue can move to a cheaper model. Central case if it can: about 75% in the first year.</t>
        </is>
      </c>
    </row>
    <row r="13">
      <c r="A13" s="9" t="inlineStr">
        <is>
          <t>Years from today until launch</t>
        </is>
      </c>
      <c r="B13" s="15" t="n">
        <v>1.5</v>
      </c>
      <c r="C13" s="9" t="inlineStr">
        <is>
          <t>years</t>
        </is>
      </c>
      <c r="D13" s="11" t="inlineStr">
        <is>
          <t>A plan figure, not a fact.</t>
        </is>
      </c>
    </row>
    <row r="14">
      <c r="A14" s="9" t="inlineStr">
        <is>
          <t>Our relay server, per player-hour (keeps the key off players' machines, enforces limits)</t>
        </is>
      </c>
      <c r="B14" s="16" t="n">
        <v>0.0005</v>
      </c>
      <c r="C14" s="9" t="inlineStr">
        <is>
          <t>$ per player-hour</t>
        </is>
      </c>
      <c r="D14" s="11" t="inlineStr">
        <is>
          <t>DERIVED from the plumbing research: Cloudflare Workers about $5-7 a month at 1,000-20,000 monthly players at 10 hours each, i.e. well under $0.0001 an hour. Set higher here to cover logging and a spare. Negligible either way.</t>
        </is>
      </c>
    </row>
    <row r="15">
      <c r="A15" s="9" t="inlineStr">
        <is>
          <t>Cost per hour of the paid model at launch, before design choices</t>
        </is>
      </c>
      <c r="B15" s="17">
        <f>Inputs!$B$7*(1-Inputs!$B$12)^Inputs!$B$13</f>
        <v/>
      </c>
      <c r="C15" s="9" t="inlineStr">
        <is>
          <t>$ per player-hour</t>
        </is>
      </c>
      <c r="D15" s="11" t="inlineStr">
        <is>
          <t>Today's cost carried forward at the price-fall rate.</t>
        </is>
      </c>
    </row>
    <row r="16">
      <c r="A16" s="9" t="inlineStr">
        <is>
          <t>Cost per hour at launch, after the design choices above</t>
        </is>
      </c>
      <c r="B16" s="17">
        <f>Inputs!$B$15*(1-Inputs!$B$8)*(1-Inputs!$B$9*Inputs!$B$11-(1-Inputs!$B$9)*Inputs!$B$10)+Inputs!$B$14*IF(Inputs!$B$10*Inputs!$B$11=1,0,1)</f>
        <v/>
      </c>
      <c r="C16" s="9" t="inlineStr">
        <is>
          <t>$ per player-hour</t>
        </is>
      </c>
      <c r="D16" s="11" t="inlineStr">
        <is>
          <t>What one hour of a cloud player's talk costs us at launch, relay included.</t>
        </is>
      </c>
    </row>
    <row r="17">
      <c r="A17" s="5" t="n"/>
      <c r="B17" s="5" t="n"/>
      <c r="C17" s="5" t="n"/>
      <c r="D17" s="5" t="n"/>
    </row>
    <row r="18">
      <c r="A18" s="8" t="inlineStr">
        <is>
          <t>The players</t>
        </is>
      </c>
      <c r="B18" s="5" t="n"/>
      <c r="C18" s="5" t="n"/>
      <c r="D18" s="5" t="n"/>
    </row>
    <row r="19">
      <c r="A19" s="9" t="inlineStr">
        <is>
          <t>Hours a typical player plays in total</t>
        </is>
      </c>
      <c r="B19" s="18" t="n">
        <v>15</v>
      </c>
      <c r="C19" s="9" t="inlineStr">
        <is>
          <t>hours</t>
        </is>
      </c>
      <c r="D19" s="11" t="inlineStr">
        <is>
          <t>ASSUMED, a median player. GameDiscoverCo's Steam data (2025): median playtime 6.6-7.5 hours in comparable genres; about 36% of owners finish a single-player game.</t>
        </is>
      </c>
    </row>
    <row r="20">
      <c r="A20" s="9" t="inlineStr">
        <is>
          <t>Hours a heavy player plays in total</t>
        </is>
      </c>
      <c r="B20" s="18" t="n">
        <v>120</v>
      </c>
      <c r="C20" s="9" t="inlineStr">
        <is>
          <t>hours</t>
        </is>
      </c>
      <c r="D20" s="11" t="inlineStr">
        <is>
          <t>ASSUMED. GameDiscoverCo: average playtime runs 3-4 times the median, so a long tail of heavy players. Suck Up! capped its included AI at about 40-50 hours; AI Dungeon rationed its heaviest 7%.</t>
        </is>
      </c>
    </row>
    <row r="21">
      <c r="A21" s="9" t="inlineStr">
        <is>
          <t>Share of players who are heavy</t>
        </is>
      </c>
      <c r="B21" s="13" t="n">
        <v>0.2</v>
      </c>
      <c r="C21" s="9" t="inlineStr">
        <is>
          <t>share</t>
        </is>
      </c>
      <c r="D21" s="11" t="inlineStr">
        <is>
          <t>The top slice of players by hours. They drive most of the cost in any model where we absorb it.</t>
        </is>
      </c>
    </row>
    <row r="22">
      <c r="A22" s="9" t="inlineStr">
        <is>
          <t>Share of players whose own PC runs all the talk locally</t>
        </is>
      </c>
      <c r="B22" s="12" t="n">
        <v>0.5</v>
      </c>
      <c r="C22" s="9" t="inlineStr">
        <is>
          <t>share</t>
        </is>
      </c>
      <c r="D22" s="11" t="inlineStr">
        <is>
          <t>Only matters in the hybrid model. Depends on what model fits beside the game, and on the card memory the slice will measure.</t>
        </is>
      </c>
    </row>
    <row r="23">
      <c r="A23" s="9" t="inlineStr">
        <is>
          <t>Hours played per month while playing</t>
        </is>
      </c>
      <c r="B23" s="15" t="n">
        <v>15</v>
      </c>
      <c r="C23" s="9" t="inlineStr">
        <is>
          <t>hours per month</t>
        </is>
      </c>
      <c r="D23" s="11" t="inlineStr">
        <is>
          <t>Used to count subscription months.</t>
        </is>
      </c>
    </row>
    <row r="24">
      <c r="A24" s="5" t="n"/>
      <c r="B24" s="5" t="n"/>
      <c r="C24" s="5" t="n"/>
      <c r="D24" s="5" t="n"/>
    </row>
    <row r="25">
      <c r="A25" s="8" t="inlineStr">
        <is>
          <t>The price and the store</t>
        </is>
      </c>
      <c r="B25" s="5" t="n"/>
      <c r="C25" s="5" t="n"/>
      <c r="D25" s="5" t="n"/>
    </row>
    <row r="26">
      <c r="A26" s="9" t="inlineStr">
        <is>
          <t>Price of the game</t>
        </is>
      </c>
      <c r="B26" s="19" t="n">
        <v>24.99</v>
      </c>
      <c r="C26" s="9" t="inlineStr">
        <is>
          <t>$</t>
        </is>
      </c>
      <c r="D26" s="11" t="inlineStr">
        <is>
          <t>ASSUMED, an indie price. Comparables: Suck Up! $15.99, Whispers from the Star $9.99, Disco Elysium launch $39.99.</t>
        </is>
      </c>
    </row>
    <row r="27">
      <c r="A27" s="9" t="inlineStr">
        <is>
          <t>Store's share of every sale and purchase</t>
        </is>
      </c>
      <c r="B27" s="13" t="n">
        <v>0.3</v>
      </c>
      <c r="C27" s="9" t="inlineStr">
        <is>
          <t>share</t>
        </is>
      </c>
      <c r="D27" s="11" t="inlineStr">
        <is>
          <t>Steam's standard share on the first $10M of revenue. Steam also takes its cut of in-game purchases, which must go through the Steam Wallet.</t>
        </is>
      </c>
    </row>
    <row r="28">
      <c r="A28" s="9" t="inlineStr">
        <is>
          <t>Hours of live talk included in the price (capped and hybrid models)</t>
        </is>
      </c>
      <c r="B28" s="15" t="n">
        <v>40</v>
      </c>
      <c r="C28" s="9" t="inlineStr">
        <is>
          <t>hours</t>
        </is>
      </c>
      <c r="D28" s="11" t="inlineStr">
        <is>
          <t>After the cap, talk falls back to written lines and the in-character brush-off already ruled for a dropped connection.</t>
        </is>
      </c>
    </row>
    <row r="29">
      <c r="A29" s="9" t="inlineStr">
        <is>
          <t>Price the player pays per extra hour of talk (credits model)</t>
        </is>
      </c>
      <c r="B29" s="19" t="n">
        <v>0.5</v>
      </c>
      <c r="C29" s="9" t="inlineStr">
        <is>
          <t>$ per hour</t>
        </is>
      </c>
      <c r="D29" s="11" t="inlineStr">
        <is>
          <t>ASSUMED. Comparables: AI Dungeon about $9.99 for 1,200 credits; Master of Dungeon from EUR 3.09 for 200 actions; Tabled $4.99 refills.</t>
        </is>
      </c>
    </row>
    <row r="30">
      <c r="A30" s="9" t="inlineStr">
        <is>
          <t>Share of players who buy credits once the included hours run out</t>
        </is>
      </c>
      <c r="B30" s="13" t="n">
        <v>0.2</v>
      </c>
      <c r="C30" s="9" t="inlineStr">
        <is>
          <t>share</t>
        </is>
      </c>
      <c r="D30" s="11" t="inlineStr">
        <is>
          <t>The rest carry on with written lines.</t>
        </is>
      </c>
    </row>
    <row r="31">
      <c r="A31" s="9" t="inlineStr">
        <is>
          <t>Subscription price per month (subscription model)</t>
        </is>
      </c>
      <c r="B31" s="19" t="n">
        <v>4.99</v>
      </c>
      <c r="C31" s="9" t="inlineStr">
        <is>
          <t>$ per month</t>
        </is>
      </c>
      <c r="D31" s="11" t="inlineStr">
        <is>
          <t>ASSUMED. Valve: recurring billing is 'not a fully supported feature' and 'customer appetite is limited'. Comparables are standalone AI apps at $10-15 (NovelAI, AI Dungeon, Character.AI).</t>
        </is>
      </c>
    </row>
    <row r="32">
      <c r="A32" s="9" t="inlineStr">
        <is>
          <t>Share of players who subscribe once the included hours run out</t>
        </is>
      </c>
      <c r="B32" s="13" t="n">
        <v>0.1</v>
      </c>
      <c r="C32" s="9" t="inlineStr">
        <is>
          <t>share</t>
        </is>
      </c>
      <c r="D32" s="11" t="inlineStr">
        <is>
          <t>The rest carry on with written lines.</t>
        </is>
      </c>
    </row>
    <row r="33">
      <c r="A33" s="9" t="inlineStr">
        <is>
          <t>Sales lost because the player must bring their own key</t>
        </is>
      </c>
      <c r="B33" s="13" t="n">
        <v>0.5</v>
      </c>
      <c r="C33" s="9" t="inlineStr">
        <is>
          <t>share of sales</t>
        </is>
      </c>
      <c r="D33" s="11" t="inlineStr">
        <is>
          <t>ASSUMED; no published take-up figure exists. Games that require a key (1001 Nights) are niche; most move to a free default (AI Roguelite, Player2-backed mods).</t>
        </is>
      </c>
    </row>
    <row r="34">
      <c r="A34" s="9" t="inlineStr">
        <is>
          <t>Share of buyers who actually set up a key</t>
        </is>
      </c>
      <c r="B34" s="13" t="n">
        <v>0.2</v>
      </c>
      <c r="C34" s="9" t="inlineStr">
        <is>
          <t>share</t>
        </is>
      </c>
      <c r="D34" s="11" t="inlineStr">
        <is>
          <t>The rest get written lines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8" customWidth="1" min="10" max="10"/>
  </cols>
  <sheetData>
    <row r="1">
      <c r="A1" s="4" t="inlineStr">
        <is>
          <t>What each business model earns or loses per player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</row>
    <row r="2">
      <c r="A2" s="5" t="inlineStr">
        <is>
          <t>Net = what the player pays us after the store's share, minus what their talking costs us. Positive means the player pays for their own talk.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48" customHeight="1">
      <c r="A4" s="20" t="inlineStr">
        <is>
          <t>Business model</t>
        </is>
      </c>
      <c r="B4" s="20" t="inlineStr">
        <is>
          <t>How it works</t>
        </is>
      </c>
      <c r="C4" s="20" t="inlineStr">
        <is>
          <t>Typical player: we receive</t>
        </is>
      </c>
      <c r="D4" s="20" t="inlineStr">
        <is>
          <t>Typical: talk costs us</t>
        </is>
      </c>
      <c r="E4" s="20" t="inlineStr">
        <is>
          <t>Typical: net</t>
        </is>
      </c>
      <c r="F4" s="20" t="inlineStr">
        <is>
          <t>Heavy player: we receive</t>
        </is>
      </c>
      <c r="G4" s="20" t="inlineStr">
        <is>
          <t>Heavy: talk costs us</t>
        </is>
      </c>
      <c r="H4" s="20" t="inlineStr">
        <is>
          <t>Heavy: net</t>
        </is>
      </c>
      <c r="I4" s="20" t="inlineStr">
        <is>
          <t>Average player: net</t>
        </is>
      </c>
      <c r="J4" s="20" t="inlineStr">
        <is>
          <t>Hours at which a player stops paying for themselves</t>
        </is>
      </c>
    </row>
    <row r="5">
      <c r="A5" s="21" t="inlineStr">
        <is>
          <t>One-time purchase, cost absorbed</t>
        </is>
      </c>
      <c r="B5" s="22" t="inlineStr">
        <is>
          <t>The player buys the game once; we pay for every hour of talk, forever.</t>
        </is>
      </c>
      <c r="C5" s="23">
        <f>Inputs!$B$26*(1-Inputs!$B$27)</f>
        <v/>
      </c>
      <c r="D5" s="23">
        <f>Inputs!$B$19*Inputs!$B$16</f>
        <v/>
      </c>
      <c r="E5" s="23">
        <f>C5-D5</f>
        <v/>
      </c>
      <c r="F5" s="23">
        <f>Inputs!$B$26*(1-Inputs!$B$27)</f>
        <v/>
      </c>
      <c r="G5" s="23">
        <f>Inputs!$B$20*Inputs!$B$16</f>
        <v/>
      </c>
      <c r="H5" s="23">
        <f>F5-G5</f>
        <v/>
      </c>
      <c r="I5" s="23">
        <f>(1-Inputs!$B$21)*E5+Inputs!$B$21*H5</f>
        <v/>
      </c>
      <c r="J5" s="24">
        <f>IFERROR(Inputs!$B$26*(1-Inputs!$B$27)/Inputs!$B$16,"never")</f>
        <v/>
      </c>
    </row>
    <row r="6">
      <c r="A6" s="21" t="inlineStr">
        <is>
          <t>One-time purchase with included hours</t>
        </is>
      </c>
      <c r="B6" s="22" t="inlineStr">
        <is>
          <t>The price includes a set number of hours of live talk; after that the street carries on with written lines.</t>
        </is>
      </c>
      <c r="C6" s="23">
        <f>Inputs!$B$26*(1-Inputs!$B$27)</f>
        <v/>
      </c>
      <c r="D6" s="23">
        <f>MIN(Inputs!$B$19,Inputs!$B$28)*Inputs!$B$16</f>
        <v/>
      </c>
      <c r="E6" s="23">
        <f>C6-D6</f>
        <v/>
      </c>
      <c r="F6" s="23">
        <f>Inputs!$B$26*(1-Inputs!$B$27)</f>
        <v/>
      </c>
      <c r="G6" s="23">
        <f>MIN(Inputs!$B$20,Inputs!$B$28)*Inputs!$B$16</f>
        <v/>
      </c>
      <c r="H6" s="23">
        <f>F6-G6</f>
        <v/>
      </c>
      <c r="I6" s="23">
        <f>(1-Inputs!$B$21)*E6+Inputs!$B$21*H6</f>
        <v/>
      </c>
      <c r="J6" s="24">
        <f>IF(Inputs!$B$28*Inputs!$B$16&lt;=Inputs!$B$26*(1-Inputs!$B$27),"never",IFERROR(Inputs!$B$26*(1-Inputs!$B$27)/Inputs!$B$16,"never"))</f>
        <v/>
      </c>
    </row>
    <row r="7">
      <c r="A7" s="21" t="inlineStr">
        <is>
          <t>Included hours, then credits</t>
        </is>
      </c>
      <c r="B7" s="22" t="inlineStr">
        <is>
          <t>As above, and players who want more buy hours of talk.</t>
        </is>
      </c>
      <c r="C7" s="23">
        <f>Inputs!$B$26*(1-Inputs!$B$27)+Inputs!$B$30*MAX(0,Inputs!$B$19-Inputs!$B$28)*Inputs!$B$29*(1-Inputs!$B$27)</f>
        <v/>
      </c>
      <c r="D7" s="23">
        <f>(MIN(Inputs!$B$19,Inputs!$B$28)+Inputs!$B$30*MAX(0,Inputs!$B$19-Inputs!$B$28))*Inputs!$B$16</f>
        <v/>
      </c>
      <c r="E7" s="23">
        <f>C7-D7</f>
        <v/>
      </c>
      <c r="F7" s="23">
        <f>Inputs!$B$26*(1-Inputs!$B$27)+Inputs!$B$30*MAX(0,Inputs!$B$20-Inputs!$B$28)*Inputs!$B$29*(1-Inputs!$B$27)</f>
        <v/>
      </c>
      <c r="G7" s="23">
        <f>(MIN(Inputs!$B$20,Inputs!$B$28)+Inputs!$B$30*MAX(0,Inputs!$B$20-Inputs!$B$28))*Inputs!$B$16</f>
        <v/>
      </c>
      <c r="H7" s="23">
        <f>F7-G7</f>
        <v/>
      </c>
      <c r="I7" s="23">
        <f>(1-Inputs!$B$21)*E7+Inputs!$B$21*H7</f>
        <v/>
      </c>
      <c r="J7" s="24">
        <f>IF(Inputs!$B$29*(1-Inputs!$B$27)&gt;=Inputs!$B$16,"never","see note")</f>
        <v/>
      </c>
    </row>
    <row r="8">
      <c r="A8" s="21" t="inlineStr">
        <is>
          <t>Included hours, then a subscription</t>
        </is>
      </c>
      <c r="B8" s="22" t="inlineStr">
        <is>
          <t>As above, and players who want more subscribe by the month.</t>
        </is>
      </c>
      <c r="C8" s="23">
        <f>Inputs!$B$26*(1-Inputs!$B$27)+Inputs!$B$32*ROUNDUP(MAX(0,Inputs!$B$19-Inputs!$B$28)/Inputs!$B$23,0)*Inputs!$B$31*(1-Inputs!$B$27)</f>
        <v/>
      </c>
      <c r="D8" s="23">
        <f>(MIN(Inputs!$B$19,Inputs!$B$28)+Inputs!$B$32*MAX(0,Inputs!$B$19-Inputs!$B$28))*Inputs!$B$16</f>
        <v/>
      </c>
      <c r="E8" s="23">
        <f>C8-D8</f>
        <v/>
      </c>
      <c r="F8" s="23">
        <f>Inputs!$B$26*(1-Inputs!$B$27)+Inputs!$B$32*ROUNDUP(MAX(0,Inputs!$B$20-Inputs!$B$28)/Inputs!$B$23,0)*Inputs!$B$31*(1-Inputs!$B$27)</f>
        <v/>
      </c>
      <c r="G8" s="23">
        <f>(MIN(Inputs!$B$20,Inputs!$B$28)+Inputs!$B$32*MAX(0,Inputs!$B$20-Inputs!$B$28))*Inputs!$B$16</f>
        <v/>
      </c>
      <c r="H8" s="23">
        <f>F8-G8</f>
        <v/>
      </c>
      <c r="I8" s="23">
        <f>(1-Inputs!$B$21)*E8+Inputs!$B$21*H8</f>
        <v/>
      </c>
      <c r="J8" s="24">
        <f>IF(Inputs!$B$31*(1-Inputs!$B$27)&gt;=Inputs!$B$23*Inputs!$B$16,"never","see note")</f>
        <v/>
      </c>
    </row>
    <row r="9">
      <c r="A9" s="21" t="inlineStr">
        <is>
          <t>Player brings their own key</t>
        </is>
      </c>
      <c r="B9" s="22" t="inlineStr">
        <is>
          <t>The player pays the model provider directly; we pay nothing per hour. Players without a key get written lines only.</t>
        </is>
      </c>
      <c r="C9" s="23">
        <f>Inputs!$B$26*(1-Inputs!$B$27)*(1-Inputs!$B$33)</f>
        <v/>
      </c>
      <c r="D9" s="23">
        <f>0</f>
        <v/>
      </c>
      <c r="E9" s="23">
        <f>C9-D9</f>
        <v/>
      </c>
      <c r="F9" s="23">
        <f>Inputs!$B$26*(1-Inputs!$B$27)*(1-Inputs!$B$33)</f>
        <v/>
      </c>
      <c r="G9" s="23">
        <f>0</f>
        <v/>
      </c>
      <c r="H9" s="23">
        <f>F9-G9</f>
        <v/>
      </c>
      <c r="I9" s="23">
        <f>(1-Inputs!$B$21)*E9+Inputs!$B$21*H9</f>
        <v/>
      </c>
      <c r="J9" s="24">
        <f>"never"</f>
        <v/>
      </c>
    </row>
    <row r="10">
      <c r="A10" s="21" t="inlineStr">
        <is>
          <t>Everything runs on the player's PC</t>
        </is>
      </c>
      <c r="B10" s="22" t="inlineStr">
        <is>
          <t>No per-hour cost at all, but only players whose PC can run it get live talk.</t>
        </is>
      </c>
      <c r="C10" s="23">
        <f>Inputs!$B$26*(1-Inputs!$B$27)</f>
        <v/>
      </c>
      <c r="D10" s="23">
        <f>0</f>
        <v/>
      </c>
      <c r="E10" s="23">
        <f>C10-D10</f>
        <v/>
      </c>
      <c r="F10" s="23">
        <f>Inputs!$B$26*(1-Inputs!$B$27)</f>
        <v/>
      </c>
      <c r="G10" s="23">
        <f>0</f>
        <v/>
      </c>
      <c r="H10" s="23">
        <f>F10-G10</f>
        <v/>
      </c>
      <c r="I10" s="23">
        <f>(1-Inputs!$B$21)*E10+Inputs!$B$21*H10</f>
        <v/>
      </c>
      <c r="J10" s="24">
        <f>"never"</f>
        <v/>
      </c>
    </row>
    <row r="11">
      <c r="A11" s="21" t="inlineStr">
        <is>
          <t>Hybrid: local where the PC can, included hours on our servers where it cannot</t>
        </is>
      </c>
      <c r="B11" s="22" t="inlineStr">
        <is>
          <t>Players with a capable PC run it locally; the rest get the included hours from us, then written lines.</t>
        </is>
      </c>
      <c r="C11" s="23">
        <f>Inputs!$B$26*(1-Inputs!$B$27)</f>
        <v/>
      </c>
      <c r="D11" s="23">
        <f>(1-Inputs!$B$22)*MIN(Inputs!$B$19,Inputs!$B$28)*Inputs!$B$16</f>
        <v/>
      </c>
      <c r="E11" s="23">
        <f>C11-D11</f>
        <v/>
      </c>
      <c r="F11" s="23">
        <f>Inputs!$B$26*(1-Inputs!$B$27)</f>
        <v/>
      </c>
      <c r="G11" s="23">
        <f>(1-Inputs!$B$22)*MIN(Inputs!$B$20,Inputs!$B$28)*Inputs!$B$16</f>
        <v/>
      </c>
      <c r="H11" s="23">
        <f>F11-G11</f>
        <v/>
      </c>
      <c r="I11" s="23">
        <f>(1-Inputs!$B$21)*E11+Inputs!$B$21*H11</f>
        <v/>
      </c>
      <c r="J11" s="24">
        <f>IF(Inputs!$B$28*Inputs!$B$16&lt;=Inputs!$B$26*(1-Inputs!$B$27),"never",IFERROR(Inputs!$B$26*(1-Inputs!$B$27)/Inputs!$B$16,"never"))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8" t="inlineStr">
        <is>
          <t>Notes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25" t="inlineStr">
        <is>
          <t>Hours at which a player stops paying for themselves: the point where their talk has cost us everything they paid. 'never' means they pay for themselves however long they play.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25" t="inlineStr">
        <is>
          <t>Credits and subscription: 'never' when every extra hour sold earns more than it costs; 'see note' when it does not, in which case the heavy player's net column shows how much.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25" t="inlineStr">
        <is>
          <t>Bring your own key: we pay nothing per hour, and lose the buyers who will not set up a key (input 'Sales lost').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25" t="inlineStr">
        <is>
          <t>Everything local: no running cost, but the talk is only as good as a model that fits beside the game on the player's card. The local-models research (24 Sep) measured the action-picking half only.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25" t="inlineStr">
        <is>
          <t>The cost per hour on every row is the launch figure from the Inputs sheet, after the design choices (written-ahead share, local action-picking, local line-writing).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8" t="inlineStr">
        <is>
          <t>Key figures from the Inputs sheet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6" t="inlineStr">
        <is>
          <t>Cost per hour today (input)</t>
        </is>
      </c>
      <c r="B21" s="5" t="n"/>
      <c r="C21" s="26">
        <f>Inputs!$B$7</f>
        <v/>
      </c>
      <c r="D21" s="5" t="n"/>
      <c r="E21" s="5" t="n"/>
      <c r="F21" s="5" t="n"/>
      <c r="G21" s="5" t="n"/>
      <c r="H21" s="5" t="n"/>
      <c r="I21" s="5" t="n"/>
      <c r="J21" s="5" t="n"/>
    </row>
    <row r="22">
      <c r="A22" s="6" t="inlineStr">
        <is>
          <t>Cost per hour at launch, after design choices</t>
        </is>
      </c>
      <c r="B22" s="5" t="n"/>
      <c r="C22" s="26">
        <f>Inputs!$B$16</f>
        <v/>
      </c>
      <c r="D22" s="5" t="n"/>
      <c r="E22" s="5" t="n"/>
      <c r="F22" s="5" t="n"/>
      <c r="G22" s="5" t="n"/>
      <c r="H22" s="5" t="n"/>
      <c r="I22" s="5" t="n"/>
      <c r="J22" s="5" t="n"/>
    </row>
    <row r="23">
      <c r="A23" s="6" t="inlineStr">
        <is>
          <t>What we receive per sale after the store's share</t>
        </is>
      </c>
      <c r="B23" s="5" t="n"/>
      <c r="C23" s="27">
        <f>Inputs!$B$26*(1-Inputs!$B$27)</f>
        <v/>
      </c>
      <c r="D23" s="5" t="n"/>
      <c r="E23" s="5" t="n"/>
      <c r="F23" s="5" t="n"/>
      <c r="G23" s="5" t="n"/>
      <c r="H23" s="5" t="n"/>
      <c r="I23" s="5" t="n"/>
      <c r="J23" s="5" t="n"/>
    </row>
    <row r="24">
      <c r="A24" s="6" t="inlineStr">
        <is>
          <t>Hours of talk one sale pays for at launch</t>
        </is>
      </c>
      <c r="B24" s="5" t="n"/>
      <c r="C24" s="28">
        <f>IFERROR(Inputs!$B$26*(1-Inputs!$B$27)/Inputs!$B$16,"unlimited")</f>
        <v/>
      </c>
      <c r="D24" s="5" t="n"/>
      <c r="E24" s="5" t="n"/>
      <c r="F24" s="5" t="n"/>
      <c r="G24" s="5" t="n"/>
      <c r="H24" s="5" t="n"/>
      <c r="I24" s="5" t="n"/>
      <c r="J24" s="5" t="n"/>
    </row>
  </sheetData>
  <mergeCells count="5">
    <mergeCell ref="A14:J14"/>
    <mergeCell ref="A17:J17"/>
    <mergeCell ref="A18:J18"/>
    <mergeCell ref="A15:J15"/>
    <mergeCell ref="A16:J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4" t="inlineStr">
        <is>
          <t>One-time purchase, cost absorbed: net per player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5" t="inlineStr">
        <is>
          <t>Rows: cost per hour at launch. Columns: total hours a player plays. Each cell: price after the store's share, minus hours x cost. Negative (in brackets) means that player costs us money.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8" t="inlineStr">
        <is>
          <t>Cost per hour at launch</t>
        </is>
      </c>
      <c r="B4" s="29" t="n">
        <v>5</v>
      </c>
      <c r="C4" s="29" t="n">
        <v>10</v>
      </c>
      <c r="D4" s="29" t="n">
        <v>20</v>
      </c>
      <c r="E4" s="29" t="n">
        <v>40</v>
      </c>
      <c r="F4" s="29" t="n">
        <v>60</v>
      </c>
      <c r="G4" s="29" t="n">
        <v>100</v>
      </c>
      <c r="H4" s="29" t="n">
        <v>200</v>
      </c>
    </row>
    <row r="5">
      <c r="A5" s="30" t="n">
        <v>0.01</v>
      </c>
      <c r="B5" s="31">
        <f>Inputs!$B$26*(1-Inputs!$B$27)-$A5*B$4</f>
        <v/>
      </c>
      <c r="C5" s="31">
        <f>Inputs!$B$26*(1-Inputs!$B$27)-$A5*C$4</f>
        <v/>
      </c>
      <c r="D5" s="31">
        <f>Inputs!$B$26*(1-Inputs!$B$27)-$A5*D$4</f>
        <v/>
      </c>
      <c r="E5" s="31">
        <f>Inputs!$B$26*(1-Inputs!$B$27)-$A5*E$4</f>
        <v/>
      </c>
      <c r="F5" s="31">
        <f>Inputs!$B$26*(1-Inputs!$B$27)-$A5*F$4</f>
        <v/>
      </c>
      <c r="G5" s="31">
        <f>Inputs!$B$26*(1-Inputs!$B$27)-$A5*G$4</f>
        <v/>
      </c>
      <c r="H5" s="31">
        <f>Inputs!$B$26*(1-Inputs!$B$27)-$A5*H$4</f>
        <v/>
      </c>
    </row>
    <row r="6">
      <c r="A6" s="30" t="n">
        <v>0.02</v>
      </c>
      <c r="B6" s="31">
        <f>Inputs!$B$26*(1-Inputs!$B$27)-$A6*B$4</f>
        <v/>
      </c>
      <c r="C6" s="31">
        <f>Inputs!$B$26*(1-Inputs!$B$27)-$A6*C$4</f>
        <v/>
      </c>
      <c r="D6" s="31">
        <f>Inputs!$B$26*(1-Inputs!$B$27)-$A6*D$4</f>
        <v/>
      </c>
      <c r="E6" s="31">
        <f>Inputs!$B$26*(1-Inputs!$B$27)-$A6*E$4</f>
        <v/>
      </c>
      <c r="F6" s="31">
        <f>Inputs!$B$26*(1-Inputs!$B$27)-$A6*F$4</f>
        <v/>
      </c>
      <c r="G6" s="31">
        <f>Inputs!$B$26*(1-Inputs!$B$27)-$A6*G$4</f>
        <v/>
      </c>
      <c r="H6" s="31">
        <f>Inputs!$B$26*(1-Inputs!$B$27)-$A6*H$4</f>
        <v/>
      </c>
    </row>
    <row r="7">
      <c r="A7" s="30" t="n">
        <v>0.05</v>
      </c>
      <c r="B7" s="31">
        <f>Inputs!$B$26*(1-Inputs!$B$27)-$A7*B$4</f>
        <v/>
      </c>
      <c r="C7" s="31">
        <f>Inputs!$B$26*(1-Inputs!$B$27)-$A7*C$4</f>
        <v/>
      </c>
      <c r="D7" s="31">
        <f>Inputs!$B$26*(1-Inputs!$B$27)-$A7*D$4</f>
        <v/>
      </c>
      <c r="E7" s="31">
        <f>Inputs!$B$26*(1-Inputs!$B$27)-$A7*E$4</f>
        <v/>
      </c>
      <c r="F7" s="31">
        <f>Inputs!$B$26*(1-Inputs!$B$27)-$A7*F$4</f>
        <v/>
      </c>
      <c r="G7" s="31">
        <f>Inputs!$B$26*(1-Inputs!$B$27)-$A7*G$4</f>
        <v/>
      </c>
      <c r="H7" s="31">
        <f>Inputs!$B$26*(1-Inputs!$B$27)-$A7*H$4</f>
        <v/>
      </c>
    </row>
    <row r="8">
      <c r="A8" s="30" t="n">
        <v>0.1</v>
      </c>
      <c r="B8" s="31">
        <f>Inputs!$B$26*(1-Inputs!$B$27)-$A8*B$4</f>
        <v/>
      </c>
      <c r="C8" s="31">
        <f>Inputs!$B$26*(1-Inputs!$B$27)-$A8*C$4</f>
        <v/>
      </c>
      <c r="D8" s="31">
        <f>Inputs!$B$26*(1-Inputs!$B$27)-$A8*D$4</f>
        <v/>
      </c>
      <c r="E8" s="31">
        <f>Inputs!$B$26*(1-Inputs!$B$27)-$A8*E$4</f>
        <v/>
      </c>
      <c r="F8" s="31">
        <f>Inputs!$B$26*(1-Inputs!$B$27)-$A8*F$4</f>
        <v/>
      </c>
      <c r="G8" s="31">
        <f>Inputs!$B$26*(1-Inputs!$B$27)-$A8*G$4</f>
        <v/>
      </c>
      <c r="H8" s="31">
        <f>Inputs!$B$26*(1-Inputs!$B$27)-$A8*H$4</f>
        <v/>
      </c>
    </row>
    <row r="9">
      <c r="A9" s="30" t="n">
        <v>0.15</v>
      </c>
      <c r="B9" s="31">
        <f>Inputs!$B$26*(1-Inputs!$B$27)-$A9*B$4</f>
        <v/>
      </c>
      <c r="C9" s="31">
        <f>Inputs!$B$26*(1-Inputs!$B$27)-$A9*C$4</f>
        <v/>
      </c>
      <c r="D9" s="31">
        <f>Inputs!$B$26*(1-Inputs!$B$27)-$A9*D$4</f>
        <v/>
      </c>
      <c r="E9" s="31">
        <f>Inputs!$B$26*(1-Inputs!$B$27)-$A9*E$4</f>
        <v/>
      </c>
      <c r="F9" s="31">
        <f>Inputs!$B$26*(1-Inputs!$B$27)-$A9*F$4</f>
        <v/>
      </c>
      <c r="G9" s="31">
        <f>Inputs!$B$26*(1-Inputs!$B$27)-$A9*G$4</f>
        <v/>
      </c>
      <c r="H9" s="31">
        <f>Inputs!$B$26*(1-Inputs!$B$27)-$A9*H$4</f>
        <v/>
      </c>
    </row>
    <row r="10">
      <c r="A10" s="30" t="n">
        <v>0.25</v>
      </c>
      <c r="B10" s="31">
        <f>Inputs!$B$26*(1-Inputs!$B$27)-$A10*B$4</f>
        <v/>
      </c>
      <c r="C10" s="31">
        <f>Inputs!$B$26*(1-Inputs!$B$27)-$A10*C$4</f>
        <v/>
      </c>
      <c r="D10" s="31">
        <f>Inputs!$B$26*(1-Inputs!$B$27)-$A10*D$4</f>
        <v/>
      </c>
      <c r="E10" s="31">
        <f>Inputs!$B$26*(1-Inputs!$B$27)-$A10*E$4</f>
        <v/>
      </c>
      <c r="F10" s="31">
        <f>Inputs!$B$26*(1-Inputs!$B$27)-$A10*F$4</f>
        <v/>
      </c>
      <c r="G10" s="31">
        <f>Inputs!$B$26*(1-Inputs!$B$27)-$A10*G$4</f>
        <v/>
      </c>
      <c r="H10" s="31">
        <f>Inputs!$B$26*(1-Inputs!$B$27)-$A10*H$4</f>
        <v/>
      </c>
    </row>
    <row r="11">
      <c r="A11" s="30" t="n">
        <v>0.4</v>
      </c>
      <c r="B11" s="31">
        <f>Inputs!$B$26*(1-Inputs!$B$27)-$A11*B$4</f>
        <v/>
      </c>
      <c r="C11" s="31">
        <f>Inputs!$B$26*(1-Inputs!$B$27)-$A11*C$4</f>
        <v/>
      </c>
      <c r="D11" s="31">
        <f>Inputs!$B$26*(1-Inputs!$B$27)-$A11*D$4</f>
        <v/>
      </c>
      <c r="E11" s="31">
        <f>Inputs!$B$26*(1-Inputs!$B$27)-$A11*E$4</f>
        <v/>
      </c>
      <c r="F11" s="31">
        <f>Inputs!$B$26*(1-Inputs!$B$27)-$A11*F$4</f>
        <v/>
      </c>
      <c r="G11" s="31">
        <f>Inputs!$B$26*(1-Inputs!$B$27)-$A11*G$4</f>
        <v/>
      </c>
      <c r="H11" s="31">
        <f>Inputs!$B$26*(1-Inputs!$B$27)-$A11*H$4</f>
        <v/>
      </c>
    </row>
    <row r="12">
      <c r="A12" s="30" t="n">
        <v>0.6</v>
      </c>
      <c r="B12" s="31">
        <f>Inputs!$B$26*(1-Inputs!$B$27)-$A12*B$4</f>
        <v/>
      </c>
      <c r="C12" s="31">
        <f>Inputs!$B$26*(1-Inputs!$B$27)-$A12*C$4</f>
        <v/>
      </c>
      <c r="D12" s="31">
        <f>Inputs!$B$26*(1-Inputs!$B$27)-$A12*D$4</f>
        <v/>
      </c>
      <c r="E12" s="31">
        <f>Inputs!$B$26*(1-Inputs!$B$27)-$A12*E$4</f>
        <v/>
      </c>
      <c r="F12" s="31">
        <f>Inputs!$B$26*(1-Inputs!$B$27)-$A12*F$4</f>
        <v/>
      </c>
      <c r="G12" s="31">
        <f>Inputs!$B$26*(1-Inputs!$B$27)-$A12*G$4</f>
        <v/>
      </c>
      <c r="H12" s="31">
        <f>Inputs!$B$26*(1-Inputs!$B$27)-$A12*H$4</f>
        <v/>
      </c>
    </row>
    <row r="13">
      <c r="A13" s="30" t="n">
        <v>1</v>
      </c>
      <c r="B13" s="31">
        <f>Inputs!$B$26*(1-Inputs!$B$27)-$A13*B$4</f>
        <v/>
      </c>
      <c r="C13" s="31">
        <f>Inputs!$B$26*(1-Inputs!$B$27)-$A13*C$4</f>
        <v/>
      </c>
      <c r="D13" s="31">
        <f>Inputs!$B$26*(1-Inputs!$B$27)-$A13*D$4</f>
        <v/>
      </c>
      <c r="E13" s="31">
        <f>Inputs!$B$26*(1-Inputs!$B$27)-$A13*E$4</f>
        <v/>
      </c>
      <c r="F13" s="31">
        <f>Inputs!$B$26*(1-Inputs!$B$27)-$A13*F$4</f>
        <v/>
      </c>
      <c r="G13" s="31">
        <f>Inputs!$B$26*(1-Inputs!$B$27)-$A13*G$4</f>
        <v/>
      </c>
      <c r="H13" s="31">
        <f>Inputs!$B$26*(1-Inputs!$B$27)-$A13*H$4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70" customWidth="1" min="5" max="5"/>
  </cols>
  <sheetData>
    <row r="1">
      <c r="A1" s="4" t="inlineStr">
        <is>
          <t>What a small-model call has cost, and what to assume</t>
        </is>
      </c>
      <c r="B1" s="5" t="n"/>
      <c r="C1" s="5" t="n"/>
      <c r="D1" s="5" t="n"/>
      <c r="E1" s="5" t="n"/>
    </row>
    <row r="2">
      <c r="A2" s="5" t="inlineStr">
        <is>
          <t>Dated list prices per million tokens. Sources in DELIVERY.md. The derived rate below is a plain compound rate between two dated points.</t>
        </is>
      </c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>
      <c r="A4" s="7" t="inlineStr">
        <is>
          <t>Model</t>
        </is>
      </c>
      <c r="B4" s="7" t="inlineStr">
        <is>
          <t>Price took effect</t>
        </is>
      </c>
      <c r="C4" s="7" t="inlineStr">
        <is>
          <t>Input $ per million tokens</t>
        </is>
      </c>
      <c r="D4" s="7" t="inlineStr">
        <is>
          <t>Output $ per million tokens</t>
        </is>
      </c>
      <c r="E4" s="7" t="inlineStr">
        <is>
          <t>Source (see DELIVERY.md)</t>
        </is>
      </c>
    </row>
    <row r="5">
      <c r="A5" s="32" t="inlineStr">
        <is>
          <t>Claude Instant 1.2 (Anthropic)</t>
        </is>
      </c>
      <c r="B5" s="32" t="inlineStr">
        <is>
          <t>2023-08</t>
        </is>
      </c>
      <c r="C5" s="33" t="n">
        <v>1.63</v>
      </c>
      <c r="D5" s="33" t="n">
        <v>5.51</v>
      </c>
      <c r="E5" s="32" t="inlineStr">
        <is>
          <t>biz-prices: Anthropic pricing, via Wayback</t>
        </is>
      </c>
    </row>
    <row r="6">
      <c r="A6" s="32" t="inlineStr">
        <is>
          <t>Claude 3 Haiku (Anthropic)</t>
        </is>
      </c>
      <c r="B6" s="32" t="inlineStr">
        <is>
          <t>2024-03</t>
        </is>
      </c>
      <c r="C6" s="33" t="n">
        <v>0.25</v>
      </c>
      <c r="D6" s="33" t="n">
        <v>1.25</v>
      </c>
      <c r="E6" s="32" t="inlineStr">
        <is>
          <t>Anthropic launch post</t>
        </is>
      </c>
    </row>
    <row r="7">
      <c r="A7" s="32" t="inlineStr">
        <is>
          <t>Claude 3.5 Haiku (Anthropic)</t>
        </is>
      </c>
      <c r="B7" s="32" t="inlineStr">
        <is>
          <t>2024-11</t>
        </is>
      </c>
      <c r="C7" s="33" t="n">
        <v>1</v>
      </c>
      <c r="D7" s="33" t="n">
        <v>5</v>
      </c>
      <c r="E7" s="32" t="inlineStr">
        <is>
          <t>Anthropic; later $0.80/$4</t>
        </is>
      </c>
    </row>
    <row r="8">
      <c r="A8" s="32" t="inlineStr">
        <is>
          <t>Claude Haiku 4.5 (Anthropic)</t>
        </is>
      </c>
      <c r="B8" s="32" t="inlineStr">
        <is>
          <t>2025-10</t>
        </is>
      </c>
      <c r="C8" s="33" t="n">
        <v>1</v>
      </c>
      <c r="D8" s="33" t="n">
        <v>5</v>
      </c>
      <c r="E8" s="32" t="inlineStr">
        <is>
          <t>Anthropic pricing page</t>
        </is>
      </c>
    </row>
    <row r="9">
      <c r="A9" s="32" t="inlineStr">
        <is>
          <t>GPT-4o mini (OpenAI)</t>
        </is>
      </c>
      <c r="B9" s="32" t="inlineStr">
        <is>
          <t>2024-07</t>
        </is>
      </c>
      <c r="C9" s="33" t="n">
        <v>0.15</v>
      </c>
      <c r="D9" s="33" t="n">
        <v>0.6</v>
      </c>
      <c r="E9" s="32" t="inlineStr">
        <is>
          <t>OpenAI launch post</t>
        </is>
      </c>
    </row>
    <row r="10">
      <c r="A10" s="32" t="inlineStr">
        <is>
          <t>GPT-6 Luna (OpenAI)</t>
        </is>
      </c>
      <c r="B10" s="32" t="inlineStr">
        <is>
          <t>2026-09</t>
        </is>
      </c>
      <c r="C10" s="33" t="n">
        <v>0.1</v>
      </c>
      <c r="D10" s="33" t="n">
        <v>0.5</v>
      </c>
      <c r="E10" s="32" t="inlineStr">
        <is>
          <t>OpenAI, 22 Sep 2026</t>
        </is>
      </c>
    </row>
    <row r="11">
      <c r="A11" s="32" t="inlineStr">
        <is>
          <t>Cheapest model at Haiku 4.5's level, est.</t>
        </is>
      </c>
      <c r="B11" s="32" t="inlineStr">
        <is>
          <t>2024-09</t>
        </is>
      </c>
      <c r="C11" s="33" t="n">
        <v>2.75</v>
      </c>
      <c r="D11" s="33" t="n">
        <v>12.5</v>
      </c>
      <c r="E11" s="32" t="inlineStr">
        <is>
          <t>DERIVED in biz-prices (range $2.50-3 / $10-15)</t>
        </is>
      </c>
    </row>
    <row r="12">
      <c r="A12" s="32" t="inlineStr">
        <is>
          <t>Cheapest model at Haiku 4.5's level, est.</t>
        </is>
      </c>
      <c r="B12" s="32" t="inlineStr">
        <is>
          <t>2026-09</t>
        </is>
      </c>
      <c r="C12" s="33" t="n">
        <v>0.2</v>
      </c>
      <c r="D12" s="33" t="n">
        <v>1.25</v>
      </c>
      <c r="E12" s="32" t="inlineStr">
        <is>
          <t>DERIVED in biz-prices (range $0.10-0.30 / $0.50-2); not tested on our dialogue</t>
        </is>
      </c>
    </row>
    <row r="13">
      <c r="A13" s="5" t="n"/>
      <c r="B13" s="5" t="n"/>
      <c r="C13" s="5" t="n"/>
      <c r="D13" s="5" t="n"/>
      <c r="E13" s="5" t="n"/>
    </row>
    <row r="14">
      <c r="A14" s="8" t="inlineStr">
        <is>
          <t>Derived: the fall per year between two points you choose</t>
        </is>
      </c>
      <c r="B14" s="5" t="n"/>
      <c r="C14" s="5" t="n"/>
      <c r="D14" s="5" t="n"/>
      <c r="E14" s="5" t="n"/>
    </row>
    <row r="15">
      <c r="A15" s="6" t="inlineStr">
        <is>
          <t>Earlier price ($ per million, blended)</t>
        </is>
      </c>
      <c r="B15" s="5" t="n"/>
      <c r="C15" s="34">
        <f>(3*C11+D11)/4</f>
        <v/>
      </c>
      <c r="D15" s="6" t="inlineStr">
        <is>
          <t>Blended at 3 input : 1 output, cheapest at Haiku 4.5's level, Sep 2024</t>
        </is>
      </c>
      <c r="E15" s="5" t="n"/>
    </row>
    <row r="16">
      <c r="A16" s="6" t="inlineStr">
        <is>
          <t>Later price ($ per million, blended)</t>
        </is>
      </c>
      <c r="B16" s="5" t="n"/>
      <c r="C16" s="34">
        <f>(3*C12+D12)/4</f>
        <v/>
      </c>
      <c r="D16" s="6" t="inlineStr">
        <is>
          <t>Same, Sep 2026</t>
        </is>
      </c>
      <c r="E16" s="5" t="n"/>
    </row>
    <row r="17">
      <c r="A17" s="6" t="inlineStr">
        <is>
          <t>Years between them</t>
        </is>
      </c>
      <c r="B17" s="5" t="n"/>
      <c r="C17" s="35" t="n">
        <v>2</v>
      </c>
      <c r="D17" s="5" t="n"/>
      <c r="E17" s="5" t="n"/>
    </row>
    <row r="18">
      <c r="A18" s="8" t="inlineStr">
        <is>
          <t>Fall per year</t>
        </is>
      </c>
      <c r="B18" s="5" t="n"/>
      <c r="C18" s="36">
        <f>IFERROR(1-(C16/C15)^(1/C17),0)</f>
        <v/>
      </c>
      <c r="D18" s="6" t="inlineStr">
        <is>
          <t>Compare with the input on the Inputs sheet; the input is what the model uses.</t>
        </is>
      </c>
      <c r="E1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2026-09-24T06:08:28Z</dcterms:created>
  <dcterms:modified xsi:type="dcterms:W3CDTF">2026-09-24T06:08:28Z</dcterms:modified>
</cp:coreProperties>
</file>